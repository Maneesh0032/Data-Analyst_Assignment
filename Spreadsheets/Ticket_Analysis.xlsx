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ata_Analyst_Assignment\Spreadsheets\"/>
    </mc:Choice>
  </mc:AlternateContent>
  <xr:revisionPtr revIDLastSave="0" documentId="13_ncr:1_{C67FF808-AC99-40F0-BCF8-D77BD9B55DC1}" xr6:coauthVersionLast="47" xr6:coauthVersionMax="47" xr10:uidLastSave="{00000000-0000-0000-0000-000000000000}"/>
  <bookViews>
    <workbookView xWindow="-108" yWindow="-108" windowWidth="23256" windowHeight="12456" activeTab="3" xr2:uid="{E45C8A7E-3418-4CEE-B896-E68509F65052}"/>
  </bookViews>
  <sheets>
    <sheet name="Summary" sheetId="3" r:id="rId1"/>
    <sheet name="Pivot Table" sheetId="6" r:id="rId2"/>
    <sheet name="ticket" sheetId="1" r:id="rId3"/>
    <sheet name="feedbacks" sheetId="2" r:id="rId4"/>
  </sheets>
  <calcPr calcId="191029"/>
  <pivotCaches>
    <pivotCache cacheId="2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G3" i="1"/>
  <c r="C3" i="3" s="1"/>
  <c r="G2" i="1"/>
  <c r="C2" i="3" s="1"/>
  <c r="F3" i="1"/>
  <c r="B3" i="3" s="1"/>
  <c r="F2" i="1"/>
  <c r="B2" i="3" s="1"/>
  <c r="B6" i="3" l="1"/>
  <c r="C6" i="3"/>
  <c r="B7" i="3"/>
  <c r="C7" i="3"/>
</calcChain>
</file>

<file path=xl/sharedStrings.xml><?xml version="1.0" encoding="utf-8"?>
<sst xmlns="http://schemas.openxmlformats.org/spreadsheetml/2006/main" count="37" uniqueCount="26">
  <si>
    <t>created_at</t>
  </si>
  <si>
    <t>outlet_id</t>
  </si>
  <si>
    <t>cms_id</t>
  </si>
  <si>
    <t>wrqy-juv-978</t>
  </si>
  <si>
    <t>vew-iuvd-12</t>
  </si>
  <si>
    <t>8woh-k3u-23b</t>
  </si>
  <si>
    <t>ticket_id </t>
  </si>
  <si>
    <t>created_at </t>
  </si>
  <si>
    <t>closed_at </t>
  </si>
  <si>
    <t>outlet_id </t>
  </si>
  <si>
    <t>isu-sjd-457 </t>
  </si>
  <si>
    <t>wrqy-juv-978 </t>
  </si>
  <si>
    <t>qer-fal-092 </t>
  </si>
  <si>
    <t>… </t>
  </si>
  <si>
    <t>feedback_at </t>
  </si>
  <si>
    <t>feedback_rating </t>
  </si>
  <si>
    <t>2021-08-21 13:26:48 </t>
  </si>
  <si>
    <t>3 </t>
  </si>
  <si>
    <t>Same Day?</t>
  </si>
  <si>
    <t>Same Hour?</t>
  </si>
  <si>
    <t>Row Labels</t>
  </si>
  <si>
    <t>Grand Total</t>
  </si>
  <si>
    <t>same day?</t>
  </si>
  <si>
    <t>same hour?</t>
  </si>
  <si>
    <t>Sum of Same Day?</t>
  </si>
  <si>
    <t>Sum of Same Hour?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</si>
</sst>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.9499999999999993"/>
      <color rgb="FF000000"/>
      <name val="Arial"/>
      <family val="2"/>
    </font>
    <font>
      <i/>
      <sz val="10.15"/>
      <color rgb="FF3C4042"/>
      <name val="Arial"/>
      <family val="2"/>
    </font>
    <font>
      <b/>
      <sz val="9.9499999999999993"/>
      <color rgb="FF000000"/>
      <name val="Arial"/>
      <family val="2"/>
    </font>
    <font>
      <i/>
      <sz val="9.9499999999999993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3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0" fillId="0" borderId="5" xfId="0" applyBorder="1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22" fontId="1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0" fillId="0" borderId="0" xfId="0" applyNumberFormat="1"/>
  </cellXfs>
  <cellStyles count="1">
    <cellStyle name="Normal" xfId="0" builtinId="0"/>
  </cellStyles>
  <dxfs count="19">
    <dxf>
      <font>
        <b val="0"/>
        <i/>
        <strike val="0"/>
        <condense val="0"/>
        <extend val="0"/>
        <outline val="0"/>
        <shadow val="0"/>
        <u val="none"/>
        <vertAlign val="baseline"/>
        <sz val="9.9499999999999993"/>
        <color rgb="FF000000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rgb="FF000000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rgb="FF000000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rgb="FF000000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rgb="FF000000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.9499999999999993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.9499999999999993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93.848546180554" createdVersion="8" refreshedVersion="8" minRefreshableVersion="3" recordCount="2" xr:uid="{1FBAEF7F-6EA2-4406-AC5C-3B6230D78516}">
  <cacheSource type="worksheet">
    <worksheetSource name="Table6"/>
  </cacheSource>
  <cacheFields count="7">
    <cacheField name="ticket_id " numFmtId="0">
      <sharedItems/>
    </cacheField>
    <cacheField name="created_at " numFmtId="22">
      <sharedItems containsSemiMixedTypes="0" containsNonDate="0" containsDate="1" containsString="0" minDate="2021-08-19T16:45:43" maxDate="2021-08-21T11:09:22"/>
    </cacheField>
    <cacheField name="closed_at " numFmtId="22">
      <sharedItems containsSemiMixedTypes="0" containsNonDate="0" containsDate="1" containsString="0" minDate="2021-08-21T17:13:45" maxDate="2021-08-22T12:33:32"/>
    </cacheField>
    <cacheField name="outlet_id " numFmtId="0">
      <sharedItems count="2">
        <s v="wrqy-juv-978 "/>
        <s v="8woh-k3u-23b"/>
      </sharedItems>
    </cacheField>
    <cacheField name="cms_id" numFmtId="0">
      <sharedItems containsMixedTypes="1" containsNumber="1" containsInteger="1" minValue="123" maxValue="123"/>
    </cacheField>
    <cacheField name="Same Day?" numFmtId="0">
      <sharedItems containsSemiMixedTypes="0" containsString="0" containsNumber="1" containsInteger="1" minValue="0" maxValue="1"/>
    </cacheField>
    <cacheField name="Same Hour?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s v="isu-sjd-457 "/>
    <d v="2021-08-19T16:45:43"/>
    <d v="2021-08-22T12:33:32"/>
    <x v="0"/>
    <s v="vew-iuvd-12"/>
    <n v="0"/>
    <n v="0"/>
  </r>
  <r>
    <s v="qer-fal-092 "/>
    <d v="2021-08-21T11:09:22"/>
    <d v="2021-08-21T17:13:45"/>
    <x v="1"/>
    <n v="123"/>
    <n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E2172F-E615-4B7C-8C0D-0587B4535B9A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0" firstDataRow="1" firstDataCol="1"/>
  <pivotFields count="7">
    <pivotField showAll="0"/>
    <pivotField numFmtId="22" showAll="0"/>
    <pivotField numFmtId="22" showAll="0"/>
    <pivotField axis="axisRow" showAll="0">
      <items count="3">
        <item x="1"/>
        <item x="0"/>
        <item t="default"/>
      </items>
    </pivotField>
    <pivotField showAll="0"/>
    <pivotField dataField="1" showAll="0"/>
    <pivotField dataField="1"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me Day?" fld="5" baseField="0" baseItem="0"/>
    <dataField name="Sum of Same Hour?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009BD27-57B3-4756-AC4B-A1E521213DA3}" name="Table9" displayName="Table9" ref="A1:C3" totalsRowShown="0" tableBorderDxfId="6">
  <autoFilter ref="A1:C3" xr:uid="{F009BD27-57B3-4756-AC4B-A1E521213DA3}"/>
  <tableColumns count="3">
    <tableColumn id="1" xr3:uid="{D8089C36-8BD2-430A-B3C7-B2C5BAAC86E1}" name="outlet_id"/>
    <tableColumn id="2" xr3:uid="{42FFA534-3B56-45DD-844A-787E742EDFC8}" name="same day?" dataDxfId="2">
      <calculatedColumnFormula>SUMIFS(ticket!$F:$F, ticket!$D:$D, $A2)</calculatedColumnFormula>
    </tableColumn>
    <tableColumn id="3" xr3:uid="{3D2075BD-0E65-466A-83F5-A90FA05DC5B5}" name="same hour?" dataDxfId="1">
      <calculatedColumnFormula>SUMIFS(ticket!$G:$G, ticket!$D:$D, $A2)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C63B130-CDF0-4A67-848A-9F3DE591C201}" name="Table911" displayName="Table911" ref="A5:C7" totalsRowShown="0" tableBorderDxfId="5">
  <autoFilter ref="A5:C7" xr:uid="{7C63B130-CDF0-4A67-848A-9F3DE591C201}"/>
  <tableColumns count="3">
    <tableColumn id="1" xr3:uid="{3540CA86-954D-45F7-BC2B-83C772D305B4}" name="outlet_id"/>
    <tableColumn id="2" xr3:uid="{1C9A8EEE-C205-4647-B7CD-0AAFDB92CBF5}" name="same day?" dataDxfId="4">
      <calculatedColumnFormula>COUNTIFS(ticket!$D:$D, $A6, ticket!$F:$F, 1)</calculatedColumnFormula>
    </tableColumn>
    <tableColumn id="3" xr3:uid="{EC996755-F937-4E52-9804-C499E577D2B3}" name="same hour?" dataDxfId="3">
      <calculatedColumnFormula>COUNTIFS(ticket!$D:$D, $A6, ticket!$G:$G, 1)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FF49865-6BED-4E37-8448-C1F07ABEB735}" name="Table6" displayName="Table6" ref="A1:G3" totalsRowShown="0" headerRowDxfId="14" headerRowBorderDxfId="12" tableBorderDxfId="13" totalsRowBorderDxfId="11">
  <autoFilter ref="A1:G3" xr:uid="{DFF49865-6BED-4E37-8448-C1F07ABEB735}"/>
  <tableColumns count="7">
    <tableColumn id="1" xr3:uid="{4B41CD71-2AB9-44E7-851E-346DB6F16F4C}" name="ticket_id " dataDxfId="10"/>
    <tableColumn id="2" xr3:uid="{6747608E-5571-4C4E-807D-A485185D3026}" name="created_at "/>
    <tableColumn id="3" xr3:uid="{C437CC42-A010-4720-B563-8E75AE30643B}" name="closed_at "/>
    <tableColumn id="4" xr3:uid="{C45CE977-9995-4293-8822-9303FCD4F55A}" name="outlet_id " dataDxfId="9"/>
    <tableColumn id="5" xr3:uid="{E583E53E-E91E-4DE2-BE2B-95B61E46293B}" name="cms_id"/>
    <tableColumn id="6" xr3:uid="{A3EB9CE7-DE33-4C22-945C-4B81E9942CA9}" name="Same Day?" dataDxfId="8"/>
    <tableColumn id="7" xr3:uid="{E794CA88-B973-45E8-AB7A-99E0D12FF089}" name="Same Hour?" dataDxf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41AA167-72AB-430D-B209-2FB3922AA291}" name="Table5" displayName="Table5" ref="A1:D3" totalsRowShown="0" headerRowDxfId="15" headerRowBorderDxfId="17" tableBorderDxfId="18" totalsRowBorderDxfId="16">
  <autoFilter ref="A1:D3" xr:uid="{D41AA167-72AB-430D-B209-2FB3922AA291}"/>
  <tableColumns count="4">
    <tableColumn id="1" xr3:uid="{20E10EC6-B82B-4D96-B5F2-39D83FB41B2E}" name="cms_id"/>
    <tableColumn id="2" xr3:uid="{C570798F-FDD5-4297-B95F-32B51A4AA5FE}" name="feedback_at "/>
    <tableColumn id="3" xr3:uid="{5DFF06B5-DA1A-4E18-B86E-52BF12665BE6}" name="feedback_rating "/>
    <tableColumn id="4" xr3:uid="{926B1A6C-9D1F-4C7B-8A85-2E40A4D0CFFE}" name="created_at" dataDxfId="0">
      <calculatedColumnFormula xml:space="preserve">
INDEX(ticket!$B:$B,MATCH($A2,ticket!$E:$E,0))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4A963-3498-4844-A969-E4BB6F673468}">
  <dimension ref="A1:C7"/>
  <sheetViews>
    <sheetView workbookViewId="0">
      <selection activeCell="C7" sqref="C7"/>
    </sheetView>
  </sheetViews>
  <sheetFormatPr defaultRowHeight="14.4" x14ac:dyDescent="0.3"/>
  <cols>
    <col min="1" max="1" width="10.44140625" customWidth="1"/>
    <col min="2" max="2" width="11.77734375" customWidth="1"/>
    <col min="3" max="3" width="12.6640625" customWidth="1"/>
  </cols>
  <sheetData>
    <row r="1" spans="1:3" ht="15" thickBot="1" x14ac:dyDescent="0.35">
      <c r="A1" t="s">
        <v>1</v>
      </c>
      <c r="B1" t="s">
        <v>22</v>
      </c>
      <c r="C1" t="s">
        <v>23</v>
      </c>
    </row>
    <row r="2" spans="1:3" ht="27" thickBot="1" x14ac:dyDescent="0.35">
      <c r="A2" s="18" t="s">
        <v>11</v>
      </c>
      <c r="B2" s="18">
        <f>SUMIFS(ticket!$F:$F, ticket!$D:$D, $A2)</f>
        <v>0</v>
      </c>
      <c r="C2" s="18">
        <f>SUMIFS(ticket!$G:$G, ticket!$D:$D, $A2)</f>
        <v>0</v>
      </c>
    </row>
    <row r="3" spans="1:3" ht="27" thickBot="1" x14ac:dyDescent="0.35">
      <c r="A3" s="18" t="s">
        <v>5</v>
      </c>
      <c r="B3" s="19">
        <f>SUMIFS(ticket!$F:$F, ticket!$D:$D, $A3)</f>
        <v>1</v>
      </c>
      <c r="C3" s="19">
        <f>SUMIFS(ticket!$G:$G, ticket!$D:$D, $A3)</f>
        <v>0</v>
      </c>
    </row>
    <row r="5" spans="1:3" ht="15" thickBot="1" x14ac:dyDescent="0.35">
      <c r="A5" t="s">
        <v>1</v>
      </c>
      <c r="B5" t="s">
        <v>22</v>
      </c>
      <c r="C5" t="s">
        <v>23</v>
      </c>
    </row>
    <row r="6" spans="1:3" ht="27" thickBot="1" x14ac:dyDescent="0.35">
      <c r="A6" s="18" t="s">
        <v>11</v>
      </c>
      <c r="B6" s="18">
        <f>COUNTIFS(ticket!$D:$D, $A6, ticket!$F:$F, 1)</f>
        <v>0</v>
      </c>
      <c r="C6" s="18">
        <f>COUNTIFS(ticket!$D:$D, $A6, ticket!$G:$G, 1)</f>
        <v>0</v>
      </c>
    </row>
    <row r="7" spans="1:3" ht="27" thickBot="1" x14ac:dyDescent="0.35">
      <c r="A7" s="18" t="s">
        <v>5</v>
      </c>
      <c r="B7" s="19">
        <f>COUNTIFS(ticket!$D:$D, $A7, ticket!$F:$F, 1)</f>
        <v>1</v>
      </c>
      <c r="C7" s="19">
        <f>COUNTIFS(ticket!$D:$D, $A7, ticket!$G:$G, 1)</f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7D813-4CB9-48FD-AF7E-6162BDBEDEAF}">
  <dimension ref="A3:C6"/>
  <sheetViews>
    <sheetView workbookViewId="0">
      <selection activeCell="C13" sqref="C13"/>
    </sheetView>
  </sheetViews>
  <sheetFormatPr defaultRowHeight="14.4" x14ac:dyDescent="0.3"/>
  <cols>
    <col min="1" max="1" width="12.77734375" bestFit="1" customWidth="1"/>
    <col min="2" max="2" width="16.77734375" bestFit="1" customWidth="1"/>
    <col min="3" max="3" width="17.77734375" bestFit="1" customWidth="1"/>
  </cols>
  <sheetData>
    <row r="3" spans="1:3" x14ac:dyDescent="0.3">
      <c r="A3" s="15" t="s">
        <v>20</v>
      </c>
      <c r="B3" t="s">
        <v>24</v>
      </c>
      <c r="C3" t="s">
        <v>25</v>
      </c>
    </row>
    <row r="4" spans="1:3" x14ac:dyDescent="0.3">
      <c r="A4" s="16" t="s">
        <v>5</v>
      </c>
      <c r="B4" s="20">
        <v>1</v>
      </c>
      <c r="C4" s="20">
        <v>0</v>
      </c>
    </row>
    <row r="5" spans="1:3" x14ac:dyDescent="0.3">
      <c r="A5" s="16" t="s">
        <v>11</v>
      </c>
      <c r="B5" s="20">
        <v>0</v>
      </c>
      <c r="C5" s="20">
        <v>0</v>
      </c>
    </row>
    <row r="6" spans="1:3" x14ac:dyDescent="0.3">
      <c r="A6" s="16" t="s">
        <v>21</v>
      </c>
      <c r="B6" s="20">
        <v>1</v>
      </c>
      <c r="C6" s="2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A1F0B-01B0-4F3F-84B0-3503B8837AF7}">
  <dimension ref="A1:G5"/>
  <sheetViews>
    <sheetView workbookViewId="0">
      <selection activeCell="D2" sqref="D2"/>
    </sheetView>
  </sheetViews>
  <sheetFormatPr defaultRowHeight="14.4" x14ac:dyDescent="0.3"/>
  <cols>
    <col min="1" max="1" width="19.5546875" customWidth="1"/>
    <col min="2" max="2" width="28.33203125" customWidth="1"/>
    <col min="3" max="3" width="35" customWidth="1"/>
    <col min="4" max="4" width="28.88671875" customWidth="1"/>
    <col min="5" max="5" width="22.44140625" customWidth="1"/>
    <col min="6" max="7" width="8.88671875" customWidth="1"/>
  </cols>
  <sheetData>
    <row r="1" spans="1:7" ht="27" thickBot="1" x14ac:dyDescent="0.35">
      <c r="A1" s="8" t="s">
        <v>6</v>
      </c>
      <c r="B1" s="4" t="s">
        <v>7</v>
      </c>
      <c r="C1" s="4" t="s">
        <v>8</v>
      </c>
      <c r="D1" s="4" t="s">
        <v>9</v>
      </c>
      <c r="E1" s="9" t="s">
        <v>2</v>
      </c>
      <c r="F1" s="4" t="s">
        <v>18</v>
      </c>
      <c r="G1" s="4" t="s">
        <v>19</v>
      </c>
    </row>
    <row r="2" spans="1:7" ht="15" thickBot="1" x14ac:dyDescent="0.35">
      <c r="A2" s="6" t="s">
        <v>10</v>
      </c>
      <c r="B2" s="17">
        <v>44427.698414351849</v>
      </c>
      <c r="C2" s="17">
        <v>44430.523287037038</v>
      </c>
      <c r="D2" s="2" t="s">
        <v>3</v>
      </c>
      <c r="E2" s="13" t="s">
        <v>4</v>
      </c>
      <c r="F2" s="6">
        <f>--(INT(B2)=INT(C2))</f>
        <v>0</v>
      </c>
      <c r="G2" s="6">
        <f>--(AND(INT(B2)=INT(C2), HOUR(B2)=HOUR(C2)))</f>
        <v>0</v>
      </c>
    </row>
    <row r="3" spans="1:7" ht="15" thickBot="1" x14ac:dyDescent="0.35">
      <c r="A3" s="6" t="s">
        <v>12</v>
      </c>
      <c r="B3" s="17">
        <v>44429.464837962965</v>
      </c>
      <c r="C3" s="17">
        <v>44429.717881944445</v>
      </c>
      <c r="D3" s="2" t="s">
        <v>5</v>
      </c>
      <c r="E3" s="14">
        <v>123</v>
      </c>
      <c r="F3" s="6">
        <f>--(INT(B3)=INT(C3))</f>
        <v>1</v>
      </c>
      <c r="G3" s="6">
        <f>--(AND(INT(B3)=INT(C3), HOUR(B3)=HOUR(C3)))</f>
        <v>0</v>
      </c>
    </row>
    <row r="5" spans="1:7" ht="21.6" customHeight="1" x14ac:dyDescent="0.3"/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BEFA4-4A53-4416-8B3B-6DD812B8F993}">
  <dimension ref="A1:D3"/>
  <sheetViews>
    <sheetView tabSelected="1" workbookViewId="0">
      <selection activeCell="D3" sqref="D3"/>
    </sheetView>
  </sheetViews>
  <sheetFormatPr defaultRowHeight="14.4" x14ac:dyDescent="0.3"/>
  <cols>
    <col min="1" max="1" width="22.109375" customWidth="1"/>
    <col min="2" max="2" width="21.5546875" customWidth="1"/>
    <col min="3" max="3" width="17.33203125" customWidth="1"/>
    <col min="4" max="4" width="32.21875" customWidth="1"/>
  </cols>
  <sheetData>
    <row r="1" spans="1:4" ht="15" thickBot="1" x14ac:dyDescent="0.35">
      <c r="A1" s="8" t="s">
        <v>2</v>
      </c>
      <c r="B1" s="4" t="s">
        <v>14</v>
      </c>
      <c r="C1" s="4" t="s">
        <v>15</v>
      </c>
      <c r="D1" s="9" t="s">
        <v>0</v>
      </c>
    </row>
    <row r="2" spans="1:4" ht="15" thickBot="1" x14ac:dyDescent="0.35">
      <c r="A2" s="5" t="s">
        <v>4</v>
      </c>
      <c r="B2" s="1" t="s">
        <v>16</v>
      </c>
      <c r="C2" s="3" t="s">
        <v>17</v>
      </c>
      <c r="D2" s="7">
        <f xml:space="preserve">
INDEX(ticket!$B:$B,MATCH($A2,ticket!$E:$E,0))</f>
        <v>44427.698414351849</v>
      </c>
    </row>
    <row r="3" spans="1:4" x14ac:dyDescent="0.3">
      <c r="A3" s="10">
        <v>123</v>
      </c>
      <c r="B3" s="11" t="s">
        <v>13</v>
      </c>
      <c r="C3" s="11" t="s">
        <v>13</v>
      </c>
      <c r="D3" s="12">
        <f xml:space="preserve">
INDEX(ticket!$B:$B,MATCH($A3,ticket!$E:$E,0))</f>
        <v>44429.464837962965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Pivot Table</vt:lpstr>
      <vt:lpstr>ticket</vt:lpstr>
      <vt:lpstr>feedbacks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MANEESH KUDULLA</dc:creator>
  <cp:lastModifiedBy>MANEESH KUDULLA</cp:lastModifiedBy>
  <dcterms:created xsi:type="dcterms:W3CDTF">2025-12-02T11:06:27Z</dcterms:created>
  <dcterms:modified xsi:type="dcterms:W3CDTF">2025-12-02T15:19:38Z</dcterms:modified>
</cp:coreProperties>
</file>